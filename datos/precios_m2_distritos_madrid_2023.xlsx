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cios" sheetId="1" state="visible" r:id="rId3"/>
    <sheet name="Datos_mensuales_IN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<sst xmlns="http://schemas.openxmlformats.org/spreadsheetml/2006/main" count="58" uniqueCount="36">
  <si>
    <t xml:space="preserve">Distrito</t>
  </si>
  <si>
    <t xml:space="preserve">Precio_m2</t>
  </si>
  <si>
    <t xml:space="preserve">01. Centro</t>
  </si>
  <si>
    <t xml:space="preserve">02. Arganzuela</t>
  </si>
  <si>
    <t xml:space="preserve">03. Retiro</t>
  </si>
  <si>
    <t xml:space="preserve">04. Salamanca</t>
  </si>
  <si>
    <t xml:space="preserve">05. Chamartín</t>
  </si>
  <si>
    <t xml:space="preserve">06. Tetuán</t>
  </si>
  <si>
    <t xml:space="preserve">07. Chamberí</t>
  </si>
  <si>
    <t xml:space="preserve">08. Fuencarral-El Pardo</t>
  </si>
  <si>
    <t xml:space="preserve">09. Moncloa-Aravaca</t>
  </si>
  <si>
    <t xml:space="preserve">10. Latina</t>
  </si>
  <si>
    <t xml:space="preserve">11. Carabanchel</t>
  </si>
  <si>
    <t xml:space="preserve">12. Usera</t>
  </si>
  <si>
    <t xml:space="preserve">13. Puente de Vallecas</t>
  </si>
  <si>
    <t xml:space="preserve">14. Moratalaz</t>
  </si>
  <si>
    <t xml:space="preserve">15. Ciudad Lineal</t>
  </si>
  <si>
    <t xml:space="preserve">16. Hortaleza</t>
  </si>
  <si>
    <t xml:space="preserve">17. Villaverde</t>
  </si>
  <si>
    <t xml:space="preserve">18. Villa de Vallecas</t>
  </si>
  <si>
    <t xml:space="preserve">19. Vicálvaro</t>
  </si>
  <si>
    <t xml:space="preserve">20. San Blas-Canillejas</t>
  </si>
  <si>
    <t xml:space="preserve">21. Barajas</t>
  </si>
  <si>
    <t xml:space="preserve">Fuente: Ayuntamiento de Madrid, 4.3.15.B Precio de oferta de venta de la vivienda (€/m²) por Distrito y Mes. Precio_m2 = media de los 12 meses de 2023. Precio de oferta (anuncio), no de venta cerrada.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</si>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</sst>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8"/>
      <color rgb="FF66666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7A6E"/>
        <bgColor rgb="FF008080"/>
      </patternFill>
    </fill>
    <fill>
      <patternFill patternType="solid">
        <fgColor rgb="FFE8F4F1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D8D2"/>
      </left>
      <right style="thin">
        <color rgb="FFBFD8D2"/>
      </right>
      <top style="thin">
        <color rgb="FFBFD8D2"/>
      </top>
      <bottom style="thin">
        <color rgb="FFBFD8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6E"/>
      <rgbColor rgb="FFC0C0C0"/>
      <rgbColor rgb="FF808080"/>
      <rgbColor rgb="FF9999FF"/>
      <rgbColor rgb="FF993366"/>
      <rgbColor rgb="FFFFFFCC"/>
      <rgbColor rgb="FFE8F4F1"/>
      <rgbColor rgb="FF660066"/>
      <rgbColor rgb="FFFF8080"/>
      <rgbColor rgb="FF0066CC"/>
      <rgbColor rgb="FFBFD8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3" t="n">
        <f aca="false">ROUND(AVERAGE(Datos_mensuales_INE!B2:M2),2)</f>
        <v>5414.5</v>
      </c>
    </row>
    <row r="3" customFormat="false" ht="15" hidden="false" customHeight="false" outlineLevel="0" collapsed="false">
      <c r="A3" s="4" t="s">
        <v>3</v>
      </c>
      <c r="B3" s="5" t="n">
        <f aca="false">ROUND(AVERAGE(Datos_mensuales_INE!B3:M3),2)</f>
        <v>4430.58</v>
      </c>
    </row>
    <row r="4" customFormat="false" ht="15" hidden="false" customHeight="false" outlineLevel="0" collapsed="false">
      <c r="A4" s="2" t="s">
        <v>4</v>
      </c>
      <c r="B4" s="3" t="n">
        <f aca="false">ROUND(AVERAGE(Datos_mensuales_INE!B4:M4),2)</f>
        <v>5036.67</v>
      </c>
    </row>
    <row r="5" customFormat="false" ht="15" hidden="false" customHeight="false" outlineLevel="0" collapsed="false">
      <c r="A5" s="4" t="s">
        <v>5</v>
      </c>
      <c r="B5" s="5" t="n">
        <f aca="false">ROUND(AVERAGE(Datos_mensuales_INE!B5:M5),2)</f>
        <v>6656.83</v>
      </c>
    </row>
    <row r="6" customFormat="false" ht="15" hidden="false" customHeight="false" outlineLevel="0" collapsed="false">
      <c r="A6" s="2" t="s">
        <v>6</v>
      </c>
      <c r="B6" s="3" t="n">
        <f aca="false">ROUND(AVERAGE(Datos_mensuales_INE!B6:M6),2)</f>
        <v>5712.17</v>
      </c>
    </row>
    <row r="7" customFormat="false" ht="15" hidden="false" customHeight="false" outlineLevel="0" collapsed="false">
      <c r="A7" s="4" t="s">
        <v>7</v>
      </c>
      <c r="B7" s="5" t="n">
        <f aca="false">ROUND(AVERAGE(Datos_mensuales_INE!B7:M7),2)</f>
        <v>4093.08</v>
      </c>
    </row>
    <row r="8" customFormat="false" ht="15" hidden="false" customHeight="false" outlineLevel="0" collapsed="false">
      <c r="A8" s="2" t="s">
        <v>8</v>
      </c>
      <c r="B8" s="3" t="n">
        <f aca="false">ROUND(AVERAGE(Datos_mensuales_INE!B8:M8),2)</f>
        <v>5988.17</v>
      </c>
    </row>
    <row r="9" customFormat="false" ht="15" hidden="false" customHeight="false" outlineLevel="0" collapsed="false">
      <c r="A9" s="4" t="s">
        <v>9</v>
      </c>
      <c r="B9" s="5" t="n">
        <f aca="false">ROUND(AVERAGE(Datos_mensuales_INE!B9:M9),2)</f>
        <v>3810.75</v>
      </c>
    </row>
    <row r="10" customFormat="false" ht="15" hidden="false" customHeight="false" outlineLevel="0" collapsed="false">
      <c r="A10" s="2" t="s">
        <v>10</v>
      </c>
      <c r="B10" s="3" t="n">
        <f aca="false">ROUND(AVERAGE(Datos_mensuales_INE!B10:M10),2)</f>
        <v>4415.5</v>
      </c>
    </row>
    <row r="11" customFormat="false" ht="15" hidden="false" customHeight="false" outlineLevel="0" collapsed="false">
      <c r="A11" s="4" t="s">
        <v>11</v>
      </c>
      <c r="B11" s="5" t="n">
        <f aca="false">ROUND(AVERAGE(Datos_mensuales_INE!B11:M11),2)</f>
        <v>2538.25</v>
      </c>
    </row>
    <row r="12" customFormat="false" ht="15" hidden="false" customHeight="false" outlineLevel="0" collapsed="false">
      <c r="A12" s="2" t="s">
        <v>12</v>
      </c>
      <c r="B12" s="3" t="n">
        <f aca="false">ROUND(AVERAGE(Datos_mensuales_INE!B12:M12),2)</f>
        <v>2461.42</v>
      </c>
    </row>
    <row r="13" customFormat="false" ht="15" hidden="false" customHeight="false" outlineLevel="0" collapsed="false">
      <c r="A13" s="4" t="s">
        <v>13</v>
      </c>
      <c r="B13" s="5" t="n">
        <f aca="false">ROUND(AVERAGE(Datos_mensuales_INE!B13:M13),2)</f>
        <v>2252.92</v>
      </c>
    </row>
    <row r="14" customFormat="false" ht="15" hidden="false" customHeight="false" outlineLevel="0" collapsed="false">
      <c r="A14" s="2" t="s">
        <v>14</v>
      </c>
      <c r="B14" s="3" t="n">
        <f aca="false">ROUND(AVERAGE(Datos_mensuales_INE!B14:M14),2)</f>
        <v>2180.08</v>
      </c>
    </row>
    <row r="15" customFormat="false" ht="15" hidden="false" customHeight="false" outlineLevel="0" collapsed="false">
      <c r="A15" s="4" t="s">
        <v>15</v>
      </c>
      <c r="B15" s="5" t="n">
        <f aca="false">ROUND(AVERAGE(Datos_mensuales_INE!B15:M15),2)</f>
        <v>2734.33</v>
      </c>
    </row>
    <row r="16" customFormat="false" ht="15" hidden="false" customHeight="false" outlineLevel="0" collapsed="false">
      <c r="A16" s="2" t="s">
        <v>16</v>
      </c>
      <c r="B16" s="3" t="n">
        <f aca="false">ROUND(AVERAGE(Datos_mensuales_INE!B16:M16),2)</f>
        <v>3355.17</v>
      </c>
    </row>
    <row r="17" customFormat="false" ht="15" hidden="false" customHeight="false" outlineLevel="0" collapsed="false">
      <c r="A17" s="4" t="s">
        <v>17</v>
      </c>
      <c r="B17" s="5" t="n">
        <f aca="false">ROUND(AVERAGE(Datos_mensuales_INE!B17:M17),2)</f>
        <v>3940.42</v>
      </c>
    </row>
    <row r="18" customFormat="false" ht="15" hidden="false" customHeight="false" outlineLevel="0" collapsed="false">
      <c r="A18" s="2" t="s">
        <v>18</v>
      </c>
      <c r="B18" s="3" t="n">
        <f aca="false">ROUND(AVERAGE(Datos_mensuales_INE!B18:M18),2)</f>
        <v>1918.83</v>
      </c>
    </row>
    <row r="19" customFormat="false" ht="15" hidden="false" customHeight="false" outlineLevel="0" collapsed="false">
      <c r="A19" s="4" t="s">
        <v>19</v>
      </c>
      <c r="B19" s="5" t="n">
        <f aca="false">ROUND(AVERAGE(Datos_mensuales_INE!B19:M19),2)</f>
        <v>2646.67</v>
      </c>
    </row>
    <row r="20" customFormat="false" ht="15" hidden="false" customHeight="false" outlineLevel="0" collapsed="false">
      <c r="A20" s="2" t="s">
        <v>20</v>
      </c>
      <c r="B20" s="3" t="n">
        <f aca="false">ROUND(AVERAGE(Datos_mensuales_INE!B20:M20),2)</f>
        <v>2873.25</v>
      </c>
    </row>
    <row r="21" customFormat="false" ht="15" hidden="false" customHeight="false" outlineLevel="0" collapsed="false">
      <c r="A21" s="4" t="s">
        <v>21</v>
      </c>
      <c r="B21" s="5" t="n">
        <f aca="false">ROUND(AVERAGE(Datos_mensuales_INE!B21:M21),2)</f>
        <v>2790.42</v>
      </c>
    </row>
    <row r="22" customFormat="false" ht="15" hidden="false" customHeight="false" outlineLevel="0" collapsed="false">
      <c r="A22" s="2" t="s">
        <v>22</v>
      </c>
      <c r="B22" s="3" t="n">
        <f aca="false">ROUND(AVERAGE(Datos_mensuales_INE!B22:M22),2)</f>
        <v>3436.25</v>
      </c>
    </row>
    <row r="24" customFormat="false" ht="15" hidden="false" customHeight="false" outlineLevel="0" collapsed="false">
      <c r="A24" s="6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</cols>
  <sheetData>
    <row r="1" customFormat="false" ht="15" hidden="false" customHeight="false" outlineLevel="0" collapsed="false">
      <c r="A1" s="7" t="s">
        <v>0</v>
      </c>
      <c r="B1" s="7" t="s">
        <v>24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7" t="s">
        <v>30</v>
      </c>
      <c r="I1" s="7" t="s">
        <v>31</v>
      </c>
      <c r="J1" s="7" t="s">
        <v>32</v>
      </c>
      <c r="K1" s="7" t="s">
        <v>33</v>
      </c>
      <c r="L1" s="7" t="s">
        <v>34</v>
      </c>
      <c r="M1" s="7" t="s">
        <v>35</v>
      </c>
    </row>
    <row r="2" customFormat="false" ht="15" hidden="false" customHeight="false" outlineLevel="0" collapsed="false">
      <c r="A2" s="0" t="s">
        <v>2</v>
      </c>
      <c r="B2" s="0" t="n">
        <v>5137</v>
      </c>
      <c r="C2" s="0" t="n">
        <v>5152</v>
      </c>
      <c r="D2" s="0" t="n">
        <v>5247</v>
      </c>
      <c r="E2" s="0" t="n">
        <v>5292</v>
      </c>
      <c r="F2" s="0" t="n">
        <v>5357</v>
      </c>
      <c r="G2" s="0" t="n">
        <v>5368</v>
      </c>
      <c r="H2" s="0" t="n">
        <v>5361</v>
      </c>
      <c r="I2" s="0" t="n">
        <v>5381</v>
      </c>
      <c r="J2" s="0" t="n">
        <v>5488</v>
      </c>
      <c r="K2" s="0" t="n">
        <v>5595</v>
      </c>
      <c r="L2" s="0" t="n">
        <v>5719</v>
      </c>
      <c r="M2" s="0" t="n">
        <v>5877</v>
      </c>
    </row>
    <row r="3" customFormat="false" ht="15" hidden="false" customHeight="false" outlineLevel="0" collapsed="false">
      <c r="A3" s="0" t="s">
        <v>3</v>
      </c>
      <c r="B3" s="0" t="n">
        <v>4333</v>
      </c>
      <c r="C3" s="0" t="n">
        <v>4354</v>
      </c>
      <c r="D3" s="0" t="n">
        <v>4358</v>
      </c>
      <c r="E3" s="0" t="n">
        <v>4376</v>
      </c>
      <c r="F3" s="0" t="n">
        <v>4396</v>
      </c>
      <c r="G3" s="0" t="n">
        <v>4392</v>
      </c>
      <c r="H3" s="0" t="n">
        <v>4450</v>
      </c>
      <c r="I3" s="0" t="n">
        <v>4488</v>
      </c>
      <c r="J3" s="0" t="n">
        <v>4485</v>
      </c>
      <c r="K3" s="0" t="n">
        <v>4510</v>
      </c>
      <c r="L3" s="0" t="n">
        <v>4501</v>
      </c>
      <c r="M3" s="0" t="n">
        <v>4524</v>
      </c>
    </row>
    <row r="4" customFormat="false" ht="15" hidden="false" customHeight="false" outlineLevel="0" collapsed="false">
      <c r="A4" s="0" t="s">
        <v>4</v>
      </c>
      <c r="B4" s="0" t="n">
        <v>5000</v>
      </c>
      <c r="C4" s="0" t="n">
        <v>4970</v>
      </c>
      <c r="D4" s="0" t="n">
        <v>4936</v>
      </c>
      <c r="E4" s="0" t="n">
        <v>4908</v>
      </c>
      <c r="F4" s="0" t="n">
        <v>4998</v>
      </c>
      <c r="G4" s="0" t="n">
        <v>5061</v>
      </c>
      <c r="H4" s="0" t="n">
        <v>5002</v>
      </c>
      <c r="I4" s="0" t="n">
        <v>5065</v>
      </c>
      <c r="J4" s="0" t="n">
        <v>5118</v>
      </c>
      <c r="K4" s="0" t="n">
        <v>5113</v>
      </c>
      <c r="L4" s="0" t="n">
        <v>5095</v>
      </c>
      <c r="M4" s="0" t="n">
        <v>5174</v>
      </c>
    </row>
    <row r="5" customFormat="false" ht="15" hidden="false" customHeight="false" outlineLevel="0" collapsed="false">
      <c r="A5" s="0" t="s">
        <v>5</v>
      </c>
      <c r="B5" s="0" t="n">
        <v>6408</v>
      </c>
      <c r="C5" s="0" t="n">
        <v>6426</v>
      </c>
      <c r="D5" s="0" t="n">
        <v>6487</v>
      </c>
      <c r="E5" s="0" t="n">
        <v>6489</v>
      </c>
      <c r="F5" s="0" t="n">
        <v>6532</v>
      </c>
      <c r="G5" s="0" t="n">
        <v>6627</v>
      </c>
      <c r="H5" s="0" t="n">
        <v>6654</v>
      </c>
      <c r="I5" s="0" t="n">
        <v>6729</v>
      </c>
      <c r="J5" s="0" t="n">
        <v>6738</v>
      </c>
      <c r="K5" s="0" t="n">
        <v>6824</v>
      </c>
      <c r="L5" s="0" t="n">
        <v>6924</v>
      </c>
      <c r="M5" s="0" t="n">
        <v>7044</v>
      </c>
    </row>
    <row r="6" customFormat="false" ht="15" hidden="false" customHeight="false" outlineLevel="0" collapsed="false">
      <c r="A6" s="0" t="s">
        <v>6</v>
      </c>
      <c r="B6" s="0" t="n">
        <v>5610</v>
      </c>
      <c r="C6" s="0" t="n">
        <v>5695</v>
      </c>
      <c r="D6" s="0" t="n">
        <v>5659</v>
      </c>
      <c r="E6" s="0" t="n">
        <v>5614</v>
      </c>
      <c r="F6" s="0" t="n">
        <v>5654</v>
      </c>
      <c r="G6" s="0" t="n">
        <v>5701</v>
      </c>
      <c r="H6" s="0" t="n">
        <v>5732</v>
      </c>
      <c r="I6" s="0" t="n">
        <v>5735</v>
      </c>
      <c r="J6" s="0" t="n">
        <v>5747</v>
      </c>
      <c r="K6" s="0" t="n">
        <v>5751</v>
      </c>
      <c r="L6" s="0" t="n">
        <v>5785</v>
      </c>
      <c r="M6" s="0" t="n">
        <v>5863</v>
      </c>
    </row>
    <row r="7" customFormat="false" ht="15" hidden="false" customHeight="false" outlineLevel="0" collapsed="false">
      <c r="A7" s="0" t="s">
        <v>7</v>
      </c>
      <c r="B7" s="0" t="n">
        <v>4000</v>
      </c>
      <c r="C7" s="0" t="n">
        <v>4030</v>
      </c>
      <c r="D7" s="0" t="n">
        <v>4041</v>
      </c>
      <c r="E7" s="0" t="n">
        <v>4068</v>
      </c>
      <c r="F7" s="0" t="n">
        <v>4094</v>
      </c>
      <c r="G7" s="0" t="n">
        <v>4110</v>
      </c>
      <c r="H7" s="0" t="n">
        <v>4088</v>
      </c>
      <c r="I7" s="0" t="n">
        <v>4125</v>
      </c>
      <c r="J7" s="0" t="n">
        <v>4110</v>
      </c>
      <c r="K7" s="0" t="n">
        <v>4131</v>
      </c>
      <c r="L7" s="0" t="n">
        <v>4145</v>
      </c>
      <c r="M7" s="0" t="n">
        <v>4175</v>
      </c>
    </row>
    <row r="8" customFormat="false" ht="15" hidden="false" customHeight="false" outlineLevel="0" collapsed="false">
      <c r="A8" s="0" t="s">
        <v>8</v>
      </c>
      <c r="B8" s="0" t="n">
        <v>5857</v>
      </c>
      <c r="C8" s="0" t="n">
        <v>5891</v>
      </c>
      <c r="D8" s="0" t="n">
        <v>5923</v>
      </c>
      <c r="E8" s="0" t="n">
        <v>5928</v>
      </c>
      <c r="F8" s="0" t="n">
        <v>5921</v>
      </c>
      <c r="G8" s="0" t="n">
        <v>5943</v>
      </c>
      <c r="H8" s="0" t="n">
        <v>5986</v>
      </c>
      <c r="I8" s="0" t="n">
        <v>6044</v>
      </c>
      <c r="J8" s="0" t="n">
        <v>6052</v>
      </c>
      <c r="K8" s="0" t="n">
        <v>6073</v>
      </c>
      <c r="L8" s="0" t="n">
        <v>6116</v>
      </c>
      <c r="M8" s="0" t="n">
        <v>6124</v>
      </c>
    </row>
    <row r="9" customFormat="false" ht="15" hidden="false" customHeight="false" outlineLevel="0" collapsed="false">
      <c r="A9" s="0" t="s">
        <v>9</v>
      </c>
      <c r="B9" s="0" t="n">
        <v>3774</v>
      </c>
      <c r="C9" s="0" t="n">
        <v>3758</v>
      </c>
      <c r="D9" s="0" t="n">
        <v>3775</v>
      </c>
      <c r="E9" s="0" t="n">
        <v>3803</v>
      </c>
      <c r="F9" s="0" t="n">
        <v>3825</v>
      </c>
      <c r="G9" s="0" t="n">
        <v>3831</v>
      </c>
      <c r="H9" s="0" t="n">
        <v>3825</v>
      </c>
      <c r="I9" s="0" t="n">
        <v>3822</v>
      </c>
      <c r="J9" s="0" t="n">
        <v>3837</v>
      </c>
      <c r="K9" s="0" t="n">
        <v>3812</v>
      </c>
      <c r="L9" s="0" t="n">
        <v>3822</v>
      </c>
      <c r="M9" s="0" t="n">
        <v>3845</v>
      </c>
    </row>
    <row r="10" customFormat="false" ht="15" hidden="false" customHeight="false" outlineLevel="0" collapsed="false">
      <c r="A10" s="0" t="s">
        <v>10</v>
      </c>
      <c r="B10" s="0" t="n">
        <v>4282</v>
      </c>
      <c r="C10" s="0" t="n">
        <v>4343</v>
      </c>
      <c r="D10" s="0" t="n">
        <v>4348</v>
      </c>
      <c r="E10" s="0" t="n">
        <v>4397</v>
      </c>
      <c r="F10" s="0" t="n">
        <v>4406</v>
      </c>
      <c r="G10" s="0" t="n">
        <v>4413</v>
      </c>
      <c r="H10" s="0" t="n">
        <v>4365</v>
      </c>
      <c r="I10" s="0" t="n">
        <v>4406</v>
      </c>
      <c r="J10" s="0" t="n">
        <v>4417</v>
      </c>
      <c r="K10" s="0" t="n">
        <v>4485</v>
      </c>
      <c r="L10" s="0" t="n">
        <v>4537</v>
      </c>
      <c r="M10" s="0" t="n">
        <v>4587</v>
      </c>
    </row>
    <row r="11" customFormat="false" ht="15" hidden="false" customHeight="false" outlineLevel="0" collapsed="false">
      <c r="A11" s="0" t="s">
        <v>11</v>
      </c>
      <c r="B11" s="0" t="n">
        <v>2460</v>
      </c>
      <c r="C11" s="0" t="n">
        <v>2498</v>
      </c>
      <c r="D11" s="0" t="n">
        <v>2523</v>
      </c>
      <c r="E11" s="0" t="n">
        <v>2543</v>
      </c>
      <c r="F11" s="0" t="n">
        <v>2522</v>
      </c>
      <c r="G11" s="0" t="n">
        <v>2527</v>
      </c>
      <c r="H11" s="0" t="n">
        <v>2544</v>
      </c>
      <c r="I11" s="0" t="n">
        <v>2564</v>
      </c>
      <c r="J11" s="0" t="n">
        <v>2551</v>
      </c>
      <c r="K11" s="0" t="n">
        <v>2569</v>
      </c>
      <c r="L11" s="0" t="n">
        <v>2566</v>
      </c>
      <c r="M11" s="0" t="n">
        <v>2592</v>
      </c>
    </row>
    <row r="12" customFormat="false" ht="15" hidden="false" customHeight="false" outlineLevel="0" collapsed="false">
      <c r="A12" s="0" t="s">
        <v>12</v>
      </c>
      <c r="B12" s="0" t="n">
        <v>2366</v>
      </c>
      <c r="C12" s="0" t="n">
        <v>2377</v>
      </c>
      <c r="D12" s="0" t="n">
        <v>2374</v>
      </c>
      <c r="E12" s="0" t="n">
        <v>2398</v>
      </c>
      <c r="F12" s="0" t="n">
        <v>2448</v>
      </c>
      <c r="G12" s="0" t="n">
        <v>2457</v>
      </c>
      <c r="H12" s="0" t="n">
        <v>2453</v>
      </c>
      <c r="I12" s="0" t="n">
        <v>2507</v>
      </c>
      <c r="J12" s="0" t="n">
        <v>2520</v>
      </c>
      <c r="K12" s="0" t="n">
        <v>2534</v>
      </c>
      <c r="L12" s="0" t="n">
        <v>2531</v>
      </c>
      <c r="M12" s="0" t="n">
        <v>2572</v>
      </c>
    </row>
    <row r="13" customFormat="false" ht="15" hidden="false" customHeight="false" outlineLevel="0" collapsed="false">
      <c r="A13" s="0" t="s">
        <v>13</v>
      </c>
      <c r="B13" s="0" t="n">
        <v>2195</v>
      </c>
      <c r="C13" s="0" t="n">
        <v>2186</v>
      </c>
      <c r="D13" s="0" t="n">
        <v>2231</v>
      </c>
      <c r="E13" s="0" t="n">
        <v>2250</v>
      </c>
      <c r="F13" s="0" t="n">
        <v>2246</v>
      </c>
      <c r="G13" s="0" t="n">
        <v>2276</v>
      </c>
      <c r="H13" s="0" t="n">
        <v>2260</v>
      </c>
      <c r="I13" s="0" t="n">
        <v>2290</v>
      </c>
      <c r="J13" s="0" t="n">
        <v>2255</v>
      </c>
      <c r="K13" s="0" t="n">
        <v>2272</v>
      </c>
      <c r="L13" s="0" t="n">
        <v>2280</v>
      </c>
      <c r="M13" s="0" t="n">
        <v>2294</v>
      </c>
    </row>
    <row r="14" customFormat="false" ht="15" hidden="false" customHeight="false" outlineLevel="0" collapsed="false">
      <c r="A14" s="0" t="s">
        <v>14</v>
      </c>
      <c r="B14" s="0" t="n">
        <v>2112</v>
      </c>
      <c r="C14" s="0" t="n">
        <v>2107</v>
      </c>
      <c r="D14" s="0" t="n">
        <v>2100</v>
      </c>
      <c r="E14" s="0" t="n">
        <v>2136</v>
      </c>
      <c r="F14" s="0" t="n">
        <v>2172</v>
      </c>
      <c r="G14" s="0" t="n">
        <v>2182</v>
      </c>
      <c r="H14" s="0" t="n">
        <v>2175</v>
      </c>
      <c r="I14" s="0" t="n">
        <v>2213</v>
      </c>
      <c r="J14" s="0" t="n">
        <v>2240</v>
      </c>
      <c r="K14" s="0" t="n">
        <v>2238</v>
      </c>
      <c r="L14" s="0" t="n">
        <v>2224</v>
      </c>
      <c r="M14" s="0" t="n">
        <v>2262</v>
      </c>
    </row>
    <row r="15" customFormat="false" ht="15" hidden="false" customHeight="false" outlineLevel="0" collapsed="false">
      <c r="A15" s="0" t="s">
        <v>15</v>
      </c>
      <c r="B15" s="0" t="n">
        <v>2654</v>
      </c>
      <c r="C15" s="0" t="n">
        <v>2643</v>
      </c>
      <c r="D15" s="0" t="n">
        <v>2665</v>
      </c>
      <c r="E15" s="0" t="n">
        <v>2687</v>
      </c>
      <c r="F15" s="0" t="n">
        <v>2744</v>
      </c>
      <c r="G15" s="0" t="n">
        <v>2784</v>
      </c>
      <c r="H15" s="0" t="n">
        <v>2797</v>
      </c>
      <c r="I15" s="0" t="n">
        <v>2772</v>
      </c>
      <c r="J15" s="0" t="n">
        <v>2752</v>
      </c>
      <c r="K15" s="0" t="n">
        <v>2754</v>
      </c>
      <c r="L15" s="0" t="n">
        <v>2763</v>
      </c>
      <c r="M15" s="0" t="n">
        <v>2797</v>
      </c>
    </row>
    <row r="16" customFormat="false" ht="15" hidden="false" customHeight="false" outlineLevel="0" collapsed="false">
      <c r="A16" s="0" t="s">
        <v>16</v>
      </c>
      <c r="B16" s="0" t="n">
        <v>3244</v>
      </c>
      <c r="C16" s="0" t="n">
        <v>3255</v>
      </c>
      <c r="D16" s="0" t="n">
        <v>3281</v>
      </c>
      <c r="E16" s="0" t="n">
        <v>3352</v>
      </c>
      <c r="F16" s="0" t="n">
        <v>3384</v>
      </c>
      <c r="G16" s="0" t="n">
        <v>3382</v>
      </c>
      <c r="H16" s="0" t="n">
        <v>3361</v>
      </c>
      <c r="I16" s="0" t="n">
        <v>3384</v>
      </c>
      <c r="J16" s="0" t="n">
        <v>3384</v>
      </c>
      <c r="K16" s="0" t="n">
        <v>3372</v>
      </c>
      <c r="L16" s="0" t="n">
        <v>3404</v>
      </c>
      <c r="M16" s="0" t="n">
        <v>3459</v>
      </c>
    </row>
    <row r="17" customFormat="false" ht="15" hidden="false" customHeight="false" outlineLevel="0" collapsed="false">
      <c r="A17" s="0" t="s">
        <v>17</v>
      </c>
      <c r="B17" s="0" t="n">
        <v>3797</v>
      </c>
      <c r="C17" s="0" t="n">
        <v>3832</v>
      </c>
      <c r="D17" s="0" t="n">
        <v>3816</v>
      </c>
      <c r="E17" s="0" t="n">
        <v>3865</v>
      </c>
      <c r="F17" s="0" t="n">
        <v>3900</v>
      </c>
      <c r="G17" s="0" t="n">
        <v>3984</v>
      </c>
      <c r="H17" s="0" t="n">
        <v>3971</v>
      </c>
      <c r="I17" s="0" t="n">
        <v>3954</v>
      </c>
      <c r="J17" s="0" t="n">
        <v>3994</v>
      </c>
      <c r="K17" s="0" t="n">
        <v>4064</v>
      </c>
      <c r="L17" s="0" t="n">
        <v>4041</v>
      </c>
      <c r="M17" s="0" t="n">
        <v>4067</v>
      </c>
    </row>
    <row r="18" customFormat="false" ht="15" hidden="false" customHeight="false" outlineLevel="0" collapsed="false">
      <c r="A18" s="0" t="s">
        <v>18</v>
      </c>
      <c r="B18" s="0" t="n">
        <v>1856</v>
      </c>
      <c r="C18" s="0" t="n">
        <v>1869</v>
      </c>
      <c r="D18" s="0" t="n">
        <v>1862</v>
      </c>
      <c r="E18" s="0" t="n">
        <v>1885</v>
      </c>
      <c r="F18" s="0" t="n">
        <v>1912</v>
      </c>
      <c r="G18" s="0" t="n">
        <v>1926</v>
      </c>
      <c r="H18" s="0" t="n">
        <v>1947</v>
      </c>
      <c r="I18" s="0" t="n">
        <v>1954</v>
      </c>
      <c r="J18" s="0" t="n">
        <v>1954</v>
      </c>
      <c r="K18" s="0" t="n">
        <v>1961</v>
      </c>
      <c r="L18" s="0" t="n">
        <v>1937</v>
      </c>
      <c r="M18" s="0" t="n">
        <v>1963</v>
      </c>
    </row>
    <row r="19" customFormat="false" ht="15" hidden="false" customHeight="false" outlineLevel="0" collapsed="false">
      <c r="A19" s="0" t="s">
        <v>19</v>
      </c>
      <c r="B19" s="0" t="n">
        <v>2554</v>
      </c>
      <c r="C19" s="0" t="n">
        <v>2549</v>
      </c>
      <c r="D19" s="0" t="n">
        <v>2605</v>
      </c>
      <c r="E19" s="0" t="n">
        <v>2648</v>
      </c>
      <c r="F19" s="0" t="n">
        <v>2688</v>
      </c>
      <c r="G19" s="0" t="n">
        <v>2640</v>
      </c>
      <c r="H19" s="0" t="n">
        <v>2620</v>
      </c>
      <c r="I19" s="0" t="n">
        <v>2659</v>
      </c>
      <c r="J19" s="0" t="n">
        <v>2683</v>
      </c>
      <c r="K19" s="0" t="n">
        <v>2732</v>
      </c>
      <c r="L19" s="0" t="n">
        <v>2691</v>
      </c>
      <c r="M19" s="0" t="n">
        <v>2691</v>
      </c>
    </row>
    <row r="20" customFormat="false" ht="15" hidden="false" customHeight="false" outlineLevel="0" collapsed="false">
      <c r="A20" s="0" t="s">
        <v>20</v>
      </c>
      <c r="B20" s="0" t="n">
        <v>2817</v>
      </c>
      <c r="C20" s="0" t="n">
        <v>2809</v>
      </c>
      <c r="D20" s="0" t="n">
        <v>2809</v>
      </c>
      <c r="E20" s="0" t="n">
        <v>2865</v>
      </c>
      <c r="F20" s="0" t="n">
        <v>2918</v>
      </c>
      <c r="G20" s="0" t="n">
        <v>2940</v>
      </c>
      <c r="H20" s="0" t="n">
        <v>2918</v>
      </c>
      <c r="I20" s="0" t="n">
        <v>2918</v>
      </c>
      <c r="J20" s="0" t="n">
        <v>2877</v>
      </c>
      <c r="K20" s="0" t="n">
        <v>2895</v>
      </c>
      <c r="L20" s="0" t="n">
        <v>2867</v>
      </c>
      <c r="M20" s="0" t="n">
        <v>2846</v>
      </c>
    </row>
    <row r="21" customFormat="false" ht="15" hidden="false" customHeight="false" outlineLevel="0" collapsed="false">
      <c r="A21" s="0" t="s">
        <v>21</v>
      </c>
      <c r="B21" s="0" t="n">
        <v>2775</v>
      </c>
      <c r="C21" s="0" t="n">
        <v>2778</v>
      </c>
      <c r="D21" s="0" t="n">
        <v>2776</v>
      </c>
      <c r="E21" s="0" t="n">
        <v>2792</v>
      </c>
      <c r="F21" s="0" t="n">
        <v>2758</v>
      </c>
      <c r="G21" s="0" t="n">
        <v>2778</v>
      </c>
      <c r="H21" s="0" t="n">
        <v>2787</v>
      </c>
      <c r="I21" s="0" t="n">
        <v>2788</v>
      </c>
      <c r="J21" s="0" t="n">
        <v>2804</v>
      </c>
      <c r="K21" s="0" t="n">
        <v>2792</v>
      </c>
      <c r="L21" s="0" t="n">
        <v>2805</v>
      </c>
      <c r="M21" s="0" t="n">
        <v>2852</v>
      </c>
    </row>
    <row r="22" customFormat="false" ht="15" hidden="false" customHeight="false" outlineLevel="0" collapsed="false">
      <c r="A22" s="0" t="s">
        <v>22</v>
      </c>
      <c r="B22" s="0" t="n">
        <v>3391</v>
      </c>
      <c r="C22" s="0" t="n">
        <v>3407</v>
      </c>
      <c r="D22" s="0" t="n">
        <v>3399</v>
      </c>
      <c r="E22" s="0" t="n">
        <v>3351</v>
      </c>
      <c r="F22" s="0" t="n">
        <v>3411</v>
      </c>
      <c r="G22" s="0" t="n">
        <v>3507</v>
      </c>
      <c r="H22" s="0" t="n">
        <v>3504</v>
      </c>
      <c r="I22" s="0" t="n">
        <v>3472</v>
      </c>
      <c r="J22" s="0" t="n">
        <v>3439</v>
      </c>
      <c r="K22" s="0" t="n">
        <v>3497</v>
      </c>
      <c r="L22" s="0" t="n">
        <v>3451</v>
      </c>
      <c r="M22" s="0" t="n">
        <v>3406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2026-07-06T15:04:14Z</dcterms:created>
  <dc:creator>openpyxl</dc:creator>
  <dc:description/>
  <dc:language>en-US</dc:language>
  <cp:lastModifiedBy/>
  <dcterms:modified xsi:type="dcterms:W3CDTF">2026-07-06T15:04:14Z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